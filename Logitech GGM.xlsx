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4388\Desktop\(DCF) TEMPLATE MODEL\DDM expansion\"/>
    </mc:Choice>
  </mc:AlternateContent>
  <bookViews>
    <workbookView xWindow="0" yWindow="0" windowWidth="14712" windowHeight="8976"/>
  </bookViews>
  <sheets>
    <sheet name="DDM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1" l="1"/>
  <c r="B50" i="1"/>
  <c r="B85" i="1"/>
  <c r="B86" i="1"/>
  <c r="B87" i="1"/>
  <c r="B84" i="1"/>
  <c r="B34" i="1"/>
  <c r="O33" i="1"/>
  <c r="R25" i="1"/>
  <c r="R30" i="1"/>
  <c r="F91" i="1" l="1"/>
  <c r="G97" i="1"/>
  <c r="K11" i="1" s="1"/>
  <c r="G96" i="1"/>
  <c r="K10" i="1" s="1"/>
  <c r="I88" i="1"/>
  <c r="H88" i="1" s="1"/>
  <c r="G88" i="1" s="1"/>
  <c r="I79" i="1"/>
  <c r="H79" i="1" s="1"/>
  <c r="G79" i="1" s="1"/>
  <c r="P25" i="1"/>
  <c r="M33" i="1" s="1"/>
  <c r="L50" i="1"/>
  <c r="L51" i="1" s="1"/>
  <c r="L53" i="1" s="1"/>
  <c r="L55" i="1" s="1"/>
  <c r="L45" i="1"/>
  <c r="B25" i="1"/>
  <c r="B26" i="1"/>
  <c r="B29" i="1"/>
  <c r="B24" i="1"/>
  <c r="B17" i="1"/>
  <c r="B30" i="1" s="1"/>
  <c r="B69" i="1"/>
  <c r="O25" i="1"/>
  <c r="P30" i="1"/>
  <c r="O30" i="1"/>
  <c r="K30" i="1" s="1"/>
  <c r="C17" i="1" l="1"/>
  <c r="B31" i="1"/>
  <c r="F90" i="1"/>
  <c r="F89" i="1" s="1"/>
  <c r="F92" i="1"/>
  <c r="F93" i="1" s="1"/>
  <c r="J88" i="1"/>
  <c r="K88" i="1" s="1"/>
  <c r="J79" i="1"/>
  <c r="K79" i="1" l="1"/>
  <c r="B19" i="1" l="1"/>
  <c r="B36" i="1"/>
  <c r="I54" i="1"/>
  <c r="B45" i="1"/>
  <c r="C12" i="1"/>
  <c r="C13" i="1"/>
  <c r="C8" i="1"/>
  <c r="A25" i="1" l="1"/>
  <c r="A26" i="1" s="1"/>
  <c r="A27" i="1" s="1"/>
  <c r="A28" i="1" s="1"/>
  <c r="A29" i="1" s="1"/>
  <c r="A30" i="1" s="1"/>
  <c r="A31" i="1" s="1"/>
  <c r="B14" i="1"/>
  <c r="B27" i="1" l="1"/>
  <c r="B28" i="1"/>
  <c r="C15" i="1"/>
  <c r="C14" i="1"/>
  <c r="C16" i="1"/>
  <c r="C18" i="1"/>
  <c r="B22" i="1" l="1"/>
  <c r="C19" i="1"/>
  <c r="B57" i="1"/>
  <c r="K5" i="1"/>
  <c r="B51" i="1"/>
  <c r="L57" i="1" l="1"/>
  <c r="L12" i="1"/>
  <c r="B53" i="1"/>
  <c r="B61" i="1" s="1"/>
  <c r="B63" i="1" s="1"/>
  <c r="B66" i="1"/>
  <c r="B55" i="1" l="1"/>
  <c r="B70" i="1" l="1"/>
  <c r="B71" i="1" s="1"/>
  <c r="B72" i="1" l="1"/>
  <c r="B73" i="1" l="1"/>
  <c r="B74" i="1" s="1"/>
  <c r="B77" i="1" s="1"/>
  <c r="K32" i="1"/>
  <c r="F82" i="1"/>
  <c r="B83" i="1" l="1"/>
  <c r="B92" i="1" s="1"/>
  <c r="B93" i="1"/>
  <c r="L56" i="1"/>
  <c r="B81" i="1"/>
  <c r="B90" i="1" s="1"/>
  <c r="B95" i="1"/>
  <c r="B82" i="1"/>
  <c r="B91" i="1" s="1"/>
  <c r="B94" i="1"/>
  <c r="B78" i="1"/>
  <c r="B56" i="1"/>
  <c r="K7" i="1" s="1"/>
  <c r="B37" i="1"/>
  <c r="K6" i="1" s="1"/>
  <c r="F83" i="1"/>
  <c r="F84" i="1" s="1"/>
  <c r="F81" i="1"/>
  <c r="F80" i="1" s="1"/>
  <c r="K8" i="1" l="1"/>
  <c r="B75" i="1"/>
  <c r="B96" i="1" s="1"/>
  <c r="B65" i="1" s="1"/>
  <c r="F79" i="1" s="1"/>
  <c r="F88" i="1" s="1"/>
  <c r="K9" i="1" l="1"/>
  <c r="K13" i="1" l="1"/>
  <c r="K14" i="1"/>
  <c r="K12" i="1"/>
  <c r="K15" i="1" l="1"/>
  <c r="M12" i="1" s="1"/>
  <c r="L15" i="1" s="1"/>
  <c r="K16" i="1" s="1"/>
  <c r="L63" i="1"/>
</calcChain>
</file>

<file path=xl/sharedStrings.xml><?xml version="1.0" encoding="utf-8"?>
<sst xmlns="http://schemas.openxmlformats.org/spreadsheetml/2006/main" count="125" uniqueCount="83">
  <si>
    <t>Market price</t>
  </si>
  <si>
    <t>Dividend per share</t>
  </si>
  <si>
    <t>Dividend growth rate</t>
  </si>
  <si>
    <t>Dividend payout ratio</t>
  </si>
  <si>
    <t>Net income for common shareholders</t>
  </si>
  <si>
    <t>Total common equity (year start)</t>
  </si>
  <si>
    <t>Total common equity (year end)</t>
  </si>
  <si>
    <t>Average total common equity</t>
  </si>
  <si>
    <t>Return on common equity</t>
  </si>
  <si>
    <t>Total dividends</t>
  </si>
  <si>
    <t>Net income after preferred and minority</t>
  </si>
  <si>
    <t>Sustainable growth rate</t>
  </si>
  <si>
    <t>3-year dividend growth rate</t>
  </si>
  <si>
    <t>Future dividend (historical growth)</t>
  </si>
  <si>
    <t>Future dividend (sustainable growth)</t>
  </si>
  <si>
    <t>Fair value (sustainable growth)</t>
  </si>
  <si>
    <t>Year</t>
  </si>
  <si>
    <t>Cash flow</t>
  </si>
  <si>
    <t>Dividend</t>
  </si>
  <si>
    <t>Share price</t>
  </si>
  <si>
    <t>Future dividend (year 6)</t>
  </si>
  <si>
    <t>Fair value (year 6)</t>
  </si>
  <si>
    <t>Discount factor</t>
  </si>
  <si>
    <t>DCF</t>
  </si>
  <si>
    <t>Fair value (two-period DDM)</t>
  </si>
  <si>
    <t>or to the long-term economic growth rate</t>
  </si>
  <si>
    <t>growth rate at maturity is equal to risk-free rate</t>
  </si>
  <si>
    <t>companies grow at the high rate for 5 years</t>
  </si>
  <si>
    <t>then, they grow at the low (maturity) rate indefinitely</t>
  </si>
  <si>
    <t>Fair value (historical growth) DDM</t>
  </si>
  <si>
    <t>Retention ratio( proportion left to itself)</t>
  </si>
  <si>
    <t>Fair price</t>
  </si>
  <si>
    <t>N/A</t>
  </si>
  <si>
    <t>ROE 2023</t>
  </si>
  <si>
    <t>first variant constant growth</t>
  </si>
  <si>
    <t>MKT P</t>
  </si>
  <si>
    <t>DDM Results</t>
  </si>
  <si>
    <t xml:space="preserve">Dividend yield </t>
  </si>
  <si>
    <t>Logitech</t>
  </si>
  <si>
    <t>FW2014</t>
  </si>
  <si>
    <t>2-Stage Gordon Growth Rate</t>
  </si>
  <si>
    <t>Risk free Rate</t>
  </si>
  <si>
    <t>AVG</t>
  </si>
  <si>
    <t>MIN</t>
  </si>
  <si>
    <t>MAX</t>
  </si>
  <si>
    <t>Historical ROE</t>
  </si>
  <si>
    <t>adjusted</t>
  </si>
  <si>
    <t>historical Average divide  growth</t>
  </si>
  <si>
    <t>&lt;doesn’t work</t>
  </si>
  <si>
    <t>&lt;- discount period</t>
  </si>
  <si>
    <t>Cost of Equity</t>
  </si>
  <si>
    <t>Risk Free Rate</t>
  </si>
  <si>
    <t>Equity Risk Premium</t>
  </si>
  <si>
    <t>Country Risk Premium</t>
  </si>
  <si>
    <t>Swiss</t>
  </si>
  <si>
    <t>USA</t>
  </si>
  <si>
    <t>G%</t>
  </si>
  <si>
    <t>Second variant of the model Perpetuity low ROE</t>
  </si>
  <si>
    <t>Second variant of the model Perpetuity stable ROE</t>
  </si>
  <si>
    <t>Levered Equity Beta (yahoo finance)</t>
  </si>
  <si>
    <t>2periodGG</t>
  </si>
  <si>
    <t>Max</t>
  </si>
  <si>
    <t>RFR</t>
  </si>
  <si>
    <t>ROE</t>
  </si>
  <si>
    <t>COE</t>
  </si>
  <si>
    <t>Sensitivity analysis</t>
  </si>
  <si>
    <t>SA1</t>
  </si>
  <si>
    <t>SA2</t>
  </si>
  <si>
    <t>&lt;- doesn’t work</t>
  </si>
  <si>
    <t>Margin of safety</t>
  </si>
  <si>
    <t>%G</t>
  </si>
  <si>
    <t>Company:</t>
  </si>
  <si>
    <t>Payout R</t>
  </si>
  <si>
    <t>Required rate of return (Cost of Equity) 1</t>
  </si>
  <si>
    <t>Required rate of return (Cost of Equity) 2</t>
  </si>
  <si>
    <t>&lt;reduced dicount rate</t>
  </si>
  <si>
    <t>Stage 1: High growth rate</t>
  </si>
  <si>
    <t>Stage 2:lower growth rate - 5%</t>
  </si>
  <si>
    <t>minus g -&gt;</t>
  </si>
  <si>
    <t>Average share price</t>
  </si>
  <si>
    <t>*Formula works only when dicount rate higher than growth rate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</si>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</sst>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£&quot;#,##0.00"/>
    <numFmt numFmtId="165" formatCode="&quot;£&quot;#,##0"/>
    <numFmt numFmtId="166" formatCode="0.0%"/>
    <numFmt numFmtId="167" formatCode="_-[$$-1009]* #,##0.00_-;\-[$$-1009]* #,##0.00_-;_-[$$-1009]* &quot;-&quot;??_-;_-@_-"/>
    <numFmt numFmtId="168" formatCode="#,##0.00_ ;\-#,##0.00\ "/>
    <numFmt numFmtId="169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1F1F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2"/>
      <color rgb="FF1F1F1F"/>
      <name val="Arial"/>
      <family val="2"/>
    </font>
    <font>
      <sz val="11"/>
      <color rgb="FFC0000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/>
    <xf numFmtId="10" fontId="0" fillId="0" borderId="1" xfId="1" applyNumberFormat="1" applyFont="1" applyBorder="1" applyAlignment="1">
      <alignment horizontal="center"/>
    </xf>
    <xf numFmtId="0" fontId="2" fillId="0" borderId="1" xfId="0" applyFont="1" applyBorder="1"/>
    <xf numFmtId="0" fontId="0" fillId="0" borderId="0" xfId="0" applyFont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0" applyNumberFormat="1" applyAlignment="1">
      <alignment horizontal="center"/>
    </xf>
    <xf numFmtId="0" fontId="3" fillId="0" borderId="0" xfId="0" applyFont="1"/>
    <xf numFmtId="44" fontId="0" fillId="0" borderId="0" xfId="3" applyFont="1" applyAlignment="1">
      <alignment horizontal="center"/>
    </xf>
    <xf numFmtId="166" fontId="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9" fontId="0" fillId="0" borderId="0" xfId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3" xfId="0" applyBorder="1"/>
    <xf numFmtId="44" fontId="0" fillId="0" borderId="5" xfId="0" applyNumberFormat="1" applyBorder="1"/>
    <xf numFmtId="0" fontId="2" fillId="0" borderId="2" xfId="0" applyFont="1" applyBorder="1"/>
    <xf numFmtId="0" fontId="2" fillId="0" borderId="4" xfId="0" applyFont="1" applyBorder="1"/>
    <xf numFmtId="44" fontId="2" fillId="0" borderId="5" xfId="0" applyNumberFormat="1" applyFont="1" applyBorder="1"/>
    <xf numFmtId="10" fontId="0" fillId="0" borderId="0" xfId="3" applyNumberFormat="1" applyFont="1" applyAlignment="1">
      <alignment horizontal="center"/>
    </xf>
    <xf numFmtId="9" fontId="0" fillId="0" borderId="0" xfId="1" applyFont="1" applyAlignment="1">
      <alignment horizontal="center"/>
    </xf>
    <xf numFmtId="0" fontId="2" fillId="0" borderId="0" xfId="0" applyFont="1" applyAlignment="1">
      <alignment horizontal="right" indent="1"/>
    </xf>
    <xf numFmtId="44" fontId="2" fillId="0" borderId="0" xfId="3" applyFont="1" applyAlignment="1">
      <alignment horizontal="center"/>
    </xf>
    <xf numFmtId="44" fontId="0" fillId="0" borderId="0" xfId="0" applyNumberFormat="1"/>
    <xf numFmtId="168" fontId="0" fillId="0" borderId="0" xfId="0" applyNumberFormat="1"/>
    <xf numFmtId="168" fontId="5" fillId="0" borderId="0" xfId="3" applyNumberFormat="1" applyFont="1" applyAlignment="1">
      <alignment horizontal="center"/>
    </xf>
    <xf numFmtId="166" fontId="0" fillId="0" borderId="0" xfId="1" applyNumberFormat="1" applyFont="1"/>
    <xf numFmtId="0" fontId="5" fillId="0" borderId="4" xfId="0" applyFont="1" applyBorder="1"/>
    <xf numFmtId="43" fontId="2" fillId="0" borderId="7" xfId="2" applyFont="1" applyBorder="1" applyAlignment="1">
      <alignment horizontal="right"/>
    </xf>
    <xf numFmtId="43" fontId="0" fillId="0" borderId="7" xfId="2" applyFont="1" applyBorder="1" applyAlignment="1">
      <alignment horizontal="center"/>
    </xf>
    <xf numFmtId="9" fontId="0" fillId="0" borderId="7" xfId="0" applyNumberFormat="1" applyBorder="1"/>
    <xf numFmtId="44" fontId="5" fillId="0" borderId="5" xfId="3" applyFont="1" applyBorder="1"/>
    <xf numFmtId="166" fontId="0" fillId="0" borderId="0" xfId="0" applyNumberFormat="1" applyFont="1"/>
    <xf numFmtId="0" fontId="2" fillId="2" borderId="0" xfId="0" applyFont="1" applyFill="1" applyBorder="1"/>
    <xf numFmtId="0" fontId="6" fillId="0" borderId="0" xfId="0" applyFont="1"/>
    <xf numFmtId="166" fontId="6" fillId="0" borderId="0" xfId="0" applyNumberFormat="1" applyFont="1" applyAlignment="1">
      <alignment horizontal="right"/>
    </xf>
    <xf numFmtId="0" fontId="6" fillId="0" borderId="6" xfId="0" applyFont="1" applyBorder="1"/>
    <xf numFmtId="2" fontId="6" fillId="0" borderId="0" xfId="0" applyNumberFormat="1" applyFont="1"/>
    <xf numFmtId="43" fontId="0" fillId="0" borderId="0" xfId="2" applyFont="1"/>
    <xf numFmtId="44" fontId="0" fillId="0" borderId="8" xfId="0" applyNumberFormat="1" applyBorder="1"/>
    <xf numFmtId="10" fontId="0" fillId="0" borderId="8" xfId="1" applyNumberFormat="1" applyFont="1" applyBorder="1"/>
    <xf numFmtId="10" fontId="0" fillId="0" borderId="9" xfId="1" applyNumberFormat="1" applyFont="1" applyBorder="1"/>
    <xf numFmtId="10" fontId="0" fillId="0" borderId="5" xfId="1" applyNumberFormat="1" applyFont="1" applyBorder="1"/>
    <xf numFmtId="169" fontId="0" fillId="0" borderId="8" xfId="1" applyNumberFormat="1" applyFont="1" applyBorder="1"/>
    <xf numFmtId="10" fontId="2" fillId="0" borderId="0" xfId="0" applyNumberFormat="1" applyFont="1"/>
    <xf numFmtId="10" fontId="7" fillId="0" borderId="0" xfId="0" applyNumberFormat="1" applyFont="1"/>
    <xf numFmtId="43" fontId="0" fillId="3" borderId="0" xfId="2" applyFont="1" applyFill="1"/>
    <xf numFmtId="43" fontId="0" fillId="4" borderId="0" xfId="2" applyFont="1" applyFill="1"/>
    <xf numFmtId="43" fontId="0" fillId="0" borderId="0" xfId="0" applyNumberFormat="1"/>
    <xf numFmtId="0" fontId="2" fillId="0" borderId="10" xfId="0" applyFont="1" applyBorder="1" applyAlignment="1">
      <alignment horizontal="right"/>
    </xf>
    <xf numFmtId="44" fontId="0" fillId="0" borderId="11" xfId="0" applyNumberFormat="1" applyBorder="1"/>
    <xf numFmtId="0" fontId="2" fillId="0" borderId="12" xfId="0" applyFont="1" applyBorder="1" applyAlignment="1">
      <alignment horizontal="right"/>
    </xf>
    <xf numFmtId="44" fontId="0" fillId="0" borderId="13" xfId="0" applyNumberFormat="1" applyBorder="1"/>
    <xf numFmtId="0" fontId="2" fillId="0" borderId="14" xfId="0" applyFont="1" applyBorder="1" applyAlignment="1">
      <alignment horizontal="right"/>
    </xf>
    <xf numFmtId="44" fontId="0" fillId="0" borderId="15" xfId="0" applyNumberFormat="1" applyBorder="1"/>
    <xf numFmtId="44" fontId="8" fillId="0" borderId="0" xfId="3" applyFont="1" applyAlignment="1">
      <alignment horizontal="center"/>
    </xf>
    <xf numFmtId="0" fontId="8" fillId="0" borderId="0" xfId="0" applyFont="1"/>
    <xf numFmtId="9" fontId="2" fillId="0" borderId="0" xfId="1" applyFont="1"/>
    <xf numFmtId="9" fontId="0" fillId="0" borderId="0" xfId="2" applyNumberFormat="1" applyFont="1"/>
    <xf numFmtId="0" fontId="9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2" fillId="5" borderId="16" xfId="0" applyFont="1" applyFill="1" applyBorder="1"/>
    <xf numFmtId="168" fontId="2" fillId="5" borderId="17" xfId="0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1701389</xdr:colOff>
      <xdr:row>20</xdr:row>
      <xdr:rowOff>18918</xdr:rowOff>
    </xdr:from>
    <xdr:ext cx="2463815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0983934" y="3690373"/>
              <a:ext cx="246381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𝑅𝑒𝑞𝑢𝑖𝑟𝑒𝑑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𝑟𝑒𝑡𝑢𝑟𝑛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𝑅𝐹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  <m:d>
                      <m:dPr>
                        <m:ctrlP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𝐸𝑀𝑅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𝑅𝐹</m:t>
                        </m:r>
                      </m:e>
                    </m:d>
                  </m:oMath>
                </m:oMathPara>
              </a14:m>
              <a:endParaRPr lang="en-GB" sz="1100" b="0"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0983934" y="3690373"/>
              <a:ext cx="246381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𝑅𝑒𝑞𝑢𝑖𝑟𝑒𝑑 𝑟𝑒𝑡𝑢𝑟𝑛=𝑅𝐹+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𝛽(𝐸𝑀𝑅−𝑅𝐹)</a:t>
              </a:r>
              <a:endParaRPr lang="en-GB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6021</xdr:colOff>
      <xdr:row>43</xdr:row>
      <xdr:rowOff>5013</xdr:rowOff>
    </xdr:from>
    <xdr:ext cx="1893965" cy="375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5480389" y="5910513"/>
              <a:ext cx="1893965" cy="375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𝑅𝑂𝐸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𝑁𝑒𝑡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𝑖𝑛𝑐𝑜𝑚𝑒</m:t>
                        </m:r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𝐴𝑣𝑒𝑟𝑎𝑔𝑒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𝑒𝑞𝑢𝑖𝑡𝑦</m:t>
                        </m:r>
                      </m:den>
                    </m:f>
                  </m:oMath>
                </m:oMathPara>
              </a14:m>
              <a:endParaRPr lang="en-GB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5480389" y="5910513"/>
              <a:ext cx="1893965" cy="375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𝑅𝑂𝐸=(𝑁𝑒𝑡 𝑖𝑛𝑐𝑜𝑚𝑒)/(𝐴𝑣𝑒𝑟𝑎𝑔𝑒 𝑡𝑜𝑡𝑎𝑙 𝑒𝑞𝑢𝑖𝑡𝑦)</a:t>
              </a:r>
              <a:endParaRPr lang="en-GB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22413</xdr:colOff>
      <xdr:row>50</xdr:row>
      <xdr:rowOff>13033</xdr:rowOff>
    </xdr:from>
    <xdr:ext cx="159919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6073589" y="6299533"/>
              <a:ext cx="15991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𝑅𝑒𝑡𝑒𝑛𝑡𝑖𝑜𝑛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=1−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𝑃𝑎𝑦𝑜𝑢𝑡</m:t>
                    </m:r>
                  </m:oMath>
                </m:oMathPara>
              </a14:m>
              <a:endParaRPr lang="en-GB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6073589" y="6299533"/>
              <a:ext cx="15991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𝑅𝑒𝑡𝑒𝑛𝑡𝑖𝑜𝑛=1−𝑃𝑎𝑦𝑜𝑢𝑡</a:t>
              </a:r>
              <a:endParaRPr lang="en-GB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12091</xdr:colOff>
      <xdr:row>47</xdr:row>
      <xdr:rowOff>185486</xdr:rowOff>
    </xdr:from>
    <xdr:ext cx="1764633" cy="3860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6063267" y="5900486"/>
              <a:ext cx="1764633" cy="3860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𝑃𝑎𝑦𝑜𝑢𝑡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𝑇𝑜𝑡𝑎𝑙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𝑑𝑖𝑣𝑖𝑑𝑒𝑛𝑑𝑠</m:t>
                        </m:r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𝑁𝑒𝑡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𝑖𝑛𝑐𝑜𝑚𝑒</m:t>
                        </m:r>
                      </m:den>
                    </m:f>
                  </m:oMath>
                </m:oMathPara>
              </a14:m>
              <a:endParaRPr lang="en-GB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6063267" y="5900486"/>
              <a:ext cx="1764633" cy="3860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𝑃𝑎𝑦𝑜𝑢𝑡=(𝑇𝑜𝑡𝑎𝑙 𝑑𝑖𝑣𝑖𝑑𝑒𝑛𝑑𝑠)/(𝑁𝑒𝑡 𝑖𝑛𝑐𝑜𝑚𝑒)</a:t>
              </a:r>
              <a:endParaRPr lang="en-GB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20290</xdr:colOff>
      <xdr:row>52</xdr:row>
      <xdr:rowOff>16217</xdr:rowOff>
    </xdr:from>
    <xdr:ext cx="204336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6071466" y="6683717"/>
              <a:ext cx="204336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𝑆𝑢𝑠𝑡𝑎𝑖𝑛𝑎𝑏𝑙𝑒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𝑅𝑂𝐸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𝑅𝑒𝑡𝑒𝑛𝑡𝑖𝑜𝑛</m:t>
                    </m:r>
                  </m:oMath>
                </m:oMathPara>
              </a14:m>
              <a:endParaRPr lang="en-GB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" name="TextBox 5"/>
            <xdr:cNvSpPr txBox="1"/>
          </xdr:nvSpPr>
          <xdr:spPr>
            <a:xfrm>
              <a:off x="6071466" y="6683717"/>
              <a:ext cx="204336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𝑆𝑢𝑠𝑡𝑎𝑖𝑛𝑎𝑏𝑙𝑒=𝑅𝑂𝐸∗𝑅𝑒𝑡𝑒𝑛𝑡𝑖𝑜𝑛</a:t>
              </a:r>
              <a:endParaRPr lang="en-GB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209849</xdr:colOff>
      <xdr:row>9</xdr:row>
      <xdr:rowOff>8600</xdr:rowOff>
    </xdr:from>
    <xdr:ext cx="1124860" cy="47051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4890706" y="1700834"/>
              <a:ext cx="1124860" cy="4705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∞</m:t>
                        </m:r>
                      </m:sup>
                      <m:e>
                        <m:f>
                          <m:f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  <m:sSup>
                              <m:sSupPr>
                                <m:ctrlP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GB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GB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1+</m:t>
                                    </m:r>
                                    <m:r>
                                      <a:rPr lang="en-GB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𝑔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p>
                            </m:sSup>
                          </m:num>
                          <m:den>
                            <m:sSup>
                              <m:sSupPr>
                                <m:ctrlPr>
                                  <a:rPr lang="en-GB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GB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GB" sz="1100" b="0" i="1">
                                        <a:latin typeface="Cambria Math" panose="02040503050406030204" pitchFamily="18" charset="0"/>
                                      </a:rPr>
                                      <m:t>1+</m:t>
                                    </m:r>
                                    <m:r>
                                      <a:rPr lang="en-GB" sz="1100" b="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GB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p>
                            </m:sSup>
                          </m:den>
                        </m:f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4890706" y="1700834"/>
              <a:ext cx="1124860" cy="4705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𝑃=∑_(𝑡=1)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^(</a:t>
              </a:r>
              <a:r>
                <a:rPr lang="en-GB" sz="1100" b="0" i="0">
                  <a:latin typeface="Cambria Math" panose="02040503050406030204" pitchFamily="18" charset="0"/>
                </a:rPr>
                <a:t>+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∞)▒(</a:t>
              </a:r>
              <a:r>
                <a:rPr lang="en-GB" sz="1100" b="0" i="0">
                  <a:latin typeface="Cambria Math" panose="02040503050406030204" pitchFamily="18" charset="0"/>
                </a:rPr>
                <a:t>𝐷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(1+𝑔)^𝑡)/(</a:t>
              </a:r>
              <a:r>
                <a:rPr lang="en-GB" sz="1100" b="0" i="0">
                  <a:latin typeface="Cambria Math" panose="02040503050406030204" pitchFamily="18" charset="0"/>
                </a:rPr>
                <a:t>1+𝑟)^𝑡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3</xdr:col>
      <xdr:colOff>253419</xdr:colOff>
      <xdr:row>4</xdr:row>
      <xdr:rowOff>94670</xdr:rowOff>
    </xdr:from>
    <xdr:ext cx="1004506" cy="47051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4934276" y="886358"/>
              <a:ext cx="1004506" cy="4705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∞</m:t>
                        </m:r>
                      </m:sup>
                      <m:e>
                        <m:f>
                          <m:f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GB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GB" sz="1100" b="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GB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num>
                          <m:den>
                            <m:sSup>
                              <m:sSupPr>
                                <m:ctrlPr>
                                  <a:rPr lang="en-GB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GB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GB" sz="1100" b="0" i="1">
                                        <a:latin typeface="Cambria Math" panose="02040503050406030204" pitchFamily="18" charset="0"/>
                                      </a:rPr>
                                      <m:t>1+</m:t>
                                    </m:r>
                                    <m:r>
                                      <a:rPr lang="en-GB" sz="1100" b="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GB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p>
                            </m:sSup>
                          </m:den>
                        </m:f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4934276" y="886358"/>
              <a:ext cx="1004506" cy="4705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𝑃=∑_(𝑡=1)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^(</a:t>
              </a:r>
              <a:r>
                <a:rPr lang="en-GB" sz="1100" b="0" i="0">
                  <a:latin typeface="Cambria Math" panose="02040503050406030204" pitchFamily="18" charset="0"/>
                </a:rPr>
                <a:t>+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∞)▒</a:t>
              </a:r>
              <a:r>
                <a:rPr lang="en-GB" sz="1100" b="0" i="0">
                  <a:latin typeface="Cambria Math" panose="02040503050406030204" pitchFamily="18" charset="0"/>
                </a:rPr>
                <a:t>𝐷_𝑡/(1+𝑟)^𝑡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3</xdr:col>
      <xdr:colOff>298310</xdr:colOff>
      <xdr:row>14</xdr:row>
      <xdr:rowOff>174614</xdr:rowOff>
    </xdr:from>
    <xdr:ext cx="2754985" cy="36978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4852167" y="2315471"/>
              <a:ext cx="2754985" cy="3697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  <m:sSup>
                          <m:sSup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𝑔</m:t>
                                </m:r>
                              </m:e>
                            </m:d>
                          </m:e>
                          <m:sup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</m:d>
                          </m:e>
                          <m:sup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  <m:sSup>
                          <m:sSup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𝑔</m:t>
                                </m:r>
                              </m:e>
                            </m:d>
                          </m:e>
                          <m:sup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</m:d>
                          </m:e>
                          <m:sup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den>
                    </m:f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+… 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4852167" y="2315471"/>
              <a:ext cx="2754985" cy="3697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𝑃=(𝐷(1+𝑔))/((1+𝑟))+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(𝐷(1+𝑔)^2)/(1+𝑟)^2 +(𝐷(1+𝑔)^3)/(1+𝑟)^3 +…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3</xdr:col>
      <xdr:colOff>237639</xdr:colOff>
      <xdr:row>19</xdr:row>
      <xdr:rowOff>67368</xdr:rowOff>
    </xdr:from>
    <xdr:ext cx="2245038" cy="3524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4918496" y="3560693"/>
              <a:ext cx="2245038" cy="3524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)/(1+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1−(1+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)/(1+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  <m:r>
                      <a:rPr lang="en-GB" sz="1100" b="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4918496" y="3560693"/>
              <a:ext cx="2245038" cy="3524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𝑃=(𝐷(1+𝑔)/(1+𝑟))/(1−(1+𝑔)/(1+𝑟))=(𝐷(1+𝑔))/(𝑟−𝑔)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tabSelected="1" topLeftCell="A11" zoomScale="77" zoomScaleNormal="120" workbookViewId="0">
      <selection activeCell="O32" sqref="O32"/>
    </sheetView>
  </sheetViews>
  <sheetFormatPr defaultRowHeight="14.4" x14ac:dyDescent="0.3"/>
  <cols>
    <col min="1" max="1" width="37.5546875" bestFit="1" customWidth="1"/>
    <col min="2" max="2" width="19.88671875" customWidth="1"/>
    <col min="3" max="3" width="10.88671875" bestFit="1" customWidth="1"/>
    <col min="7" max="8" width="10.109375" bestFit="1" customWidth="1"/>
    <col min="10" max="10" width="11.109375" customWidth="1"/>
    <col min="11" max="11" width="32.21875" customWidth="1"/>
    <col min="12" max="12" width="22.33203125" customWidth="1"/>
  </cols>
  <sheetData>
    <row r="1" spans="1:13" ht="15.6" x14ac:dyDescent="0.3">
      <c r="A1" s="22" t="s">
        <v>71</v>
      </c>
      <c r="B1" s="70" t="s">
        <v>38</v>
      </c>
      <c r="C1" s="22" t="s">
        <v>46</v>
      </c>
      <c r="D1" s="22" t="s">
        <v>37</v>
      </c>
      <c r="E1" s="22"/>
      <c r="F1" s="56">
        <v>1.49E-2</v>
      </c>
    </row>
    <row r="2" spans="1:13" ht="15.6" x14ac:dyDescent="0.3">
      <c r="A2" s="8"/>
      <c r="B2" s="14"/>
      <c r="C2" s="8"/>
      <c r="F2" s="16"/>
    </row>
    <row r="3" spans="1:13" ht="16.2" thickBot="1" x14ac:dyDescent="0.35">
      <c r="A3" s="11" t="s">
        <v>34</v>
      </c>
      <c r="B3" s="23"/>
      <c r="C3" s="11"/>
      <c r="D3" s="9"/>
      <c r="E3" s="9"/>
      <c r="F3" s="24"/>
      <c r="G3" s="9"/>
      <c r="H3" s="9"/>
    </row>
    <row r="4" spans="1:13" ht="15" thickTop="1" x14ac:dyDescent="0.3">
      <c r="A4" t="s">
        <v>0</v>
      </c>
      <c r="B4" s="15">
        <v>79.010000000000005</v>
      </c>
      <c r="J4" s="27" t="s">
        <v>36</v>
      </c>
      <c r="K4" s="25"/>
    </row>
    <row r="5" spans="1:13" x14ac:dyDescent="0.3">
      <c r="B5" s="1"/>
      <c r="J5" s="28" t="s">
        <v>35</v>
      </c>
      <c r="K5" s="29">
        <f>B4</f>
        <v>79.010000000000005</v>
      </c>
    </row>
    <row r="6" spans="1:13" x14ac:dyDescent="0.3">
      <c r="A6" t="s">
        <v>1</v>
      </c>
      <c r="B6" s="1"/>
      <c r="J6" s="38">
        <v>1</v>
      </c>
      <c r="K6" s="42">
        <f>B37</f>
        <v>-69.548580786026236</v>
      </c>
    </row>
    <row r="7" spans="1:13" x14ac:dyDescent="0.3">
      <c r="B7" s="19">
        <v>0.53</v>
      </c>
      <c r="C7" s="8" t="s">
        <v>56</v>
      </c>
      <c r="J7" s="38">
        <v>2</v>
      </c>
      <c r="K7" s="42">
        <f>B56</f>
        <v>-19.444188183807441</v>
      </c>
    </row>
    <row r="8" spans="1:13" ht="15" thickBot="1" x14ac:dyDescent="0.35">
      <c r="A8" s="8">
        <v>2016</v>
      </c>
      <c r="B8" s="17">
        <v>0.56999999999999995</v>
      </c>
      <c r="C8" s="21">
        <f>1-B7/B8</f>
        <v>7.0175438596491113E-2</v>
      </c>
      <c r="J8" s="28" t="s">
        <v>61</v>
      </c>
      <c r="K8" s="26">
        <f>B78</f>
        <v>91.36697350490185</v>
      </c>
    </row>
    <row r="9" spans="1:13" x14ac:dyDescent="0.3">
      <c r="A9" s="8"/>
      <c r="B9" s="17"/>
      <c r="C9" s="21"/>
      <c r="J9" s="64" t="s">
        <v>60</v>
      </c>
      <c r="K9" s="65">
        <f>B65</f>
        <v>74.622664724036269</v>
      </c>
    </row>
    <row r="10" spans="1:13" x14ac:dyDescent="0.3">
      <c r="A10" s="8"/>
      <c r="B10" s="17"/>
      <c r="C10" s="21"/>
      <c r="J10" s="60" t="s">
        <v>66</v>
      </c>
      <c r="K10" s="61">
        <f>G96</f>
        <v>80.595883456690359</v>
      </c>
    </row>
    <row r="11" spans="1:13" ht="15" thickBot="1" x14ac:dyDescent="0.35">
      <c r="A11" s="8"/>
      <c r="B11" s="17"/>
      <c r="C11" s="21"/>
      <c r="J11" s="62" t="s">
        <v>67</v>
      </c>
      <c r="K11" s="63">
        <f>G97</f>
        <v>103.61453568324954</v>
      </c>
    </row>
    <row r="12" spans="1:13" ht="15" thickBot="1" x14ac:dyDescent="0.35">
      <c r="A12" s="8">
        <v>2017</v>
      </c>
      <c r="B12" s="17">
        <v>0.63</v>
      </c>
      <c r="C12" s="21">
        <f>1-B8/B12</f>
        <v>9.5238095238095344E-2</v>
      </c>
      <c r="J12" s="72" t="s">
        <v>42</v>
      </c>
      <c r="K12" s="73">
        <f>AVERAGE(K9:K11)</f>
        <v>86.277694621325395</v>
      </c>
      <c r="L12" s="34">
        <f>K5</f>
        <v>79.010000000000005</v>
      </c>
      <c r="M12" s="35">
        <f>K15</f>
        <v>7.2676946213253899</v>
      </c>
    </row>
    <row r="13" spans="1:13" x14ac:dyDescent="0.3">
      <c r="A13" s="8">
        <v>2018</v>
      </c>
      <c r="B13" s="17">
        <v>0.69</v>
      </c>
      <c r="C13" s="21">
        <f t="shared" ref="C13:C14" si="0">1-B12/B13</f>
        <v>8.6956521739130377E-2</v>
      </c>
      <c r="J13" s="8" t="s">
        <v>43</v>
      </c>
      <c r="K13" s="35">
        <f>MIN(K9:K11)</f>
        <v>74.622664724036269</v>
      </c>
      <c r="L13" s="21">
        <v>1</v>
      </c>
    </row>
    <row r="14" spans="1:13" x14ac:dyDescent="0.3">
      <c r="A14" s="20">
        <v>2019</v>
      </c>
      <c r="B14" s="17">
        <f>0.73</f>
        <v>0.73</v>
      </c>
      <c r="C14" s="21">
        <f t="shared" si="0"/>
        <v>5.4794520547945202E-2</v>
      </c>
      <c r="J14" s="8" t="s">
        <v>44</v>
      </c>
      <c r="K14" s="35">
        <f>MAX(K9:K11)</f>
        <v>103.61453568324954</v>
      </c>
    </row>
    <row r="15" spans="1:13" x14ac:dyDescent="0.3">
      <c r="A15" s="8">
        <v>2020</v>
      </c>
      <c r="B15" s="17">
        <v>0.87</v>
      </c>
      <c r="C15" s="21">
        <f>1-B14/B15</f>
        <v>0.16091954022988508</v>
      </c>
      <c r="J15" s="8" t="s">
        <v>69</v>
      </c>
      <c r="K15" s="35">
        <f>K12-K5</f>
        <v>7.2676946213253899</v>
      </c>
      <c r="L15" s="68">
        <f>(L13*M12)/L12</f>
        <v>9.19844908407213E-2</v>
      </c>
    </row>
    <row r="16" spans="1:13" x14ac:dyDescent="0.3">
      <c r="A16" s="8">
        <v>2021</v>
      </c>
      <c r="B16" s="17">
        <v>0.97</v>
      </c>
      <c r="C16" s="21">
        <f t="shared" ref="C16:C17" si="1">1-B15/B16</f>
        <v>0.10309278350515461</v>
      </c>
      <c r="J16" s="8" t="s">
        <v>70</v>
      </c>
      <c r="K16" s="69">
        <f>L15</f>
        <v>9.19844908407213E-2</v>
      </c>
    </row>
    <row r="17" spans="1:18" x14ac:dyDescent="0.3">
      <c r="A17" s="32">
        <v>2022</v>
      </c>
      <c r="B17" s="17">
        <f>1.06</f>
        <v>1.06</v>
      </c>
      <c r="C17" s="21">
        <f t="shared" si="1"/>
        <v>8.4905660377358583E-2</v>
      </c>
    </row>
    <row r="18" spans="1:18" x14ac:dyDescent="0.3">
      <c r="A18" s="20">
        <v>2023</v>
      </c>
      <c r="B18" s="17">
        <v>1.17</v>
      </c>
      <c r="C18" s="21">
        <f>1-B16/B18</f>
        <v>0.17094017094017089</v>
      </c>
    </row>
    <row r="19" spans="1:18" x14ac:dyDescent="0.3">
      <c r="A19" s="39" t="s">
        <v>39</v>
      </c>
      <c r="B19" s="40">
        <f>1.16</f>
        <v>1.1599999999999999</v>
      </c>
      <c r="C19" s="41">
        <f>AVERAGE(C15:C18)</f>
        <v>0.12996453876314229</v>
      </c>
    </row>
    <row r="20" spans="1:18" x14ac:dyDescent="0.3">
      <c r="A20" s="8"/>
      <c r="B20" s="2"/>
    </row>
    <row r="21" spans="1:18" x14ac:dyDescent="0.3">
      <c r="A21" t="s">
        <v>12</v>
      </c>
      <c r="B21" s="31">
        <v>8.8999999999999996E-2</v>
      </c>
      <c r="C21" s="21"/>
    </row>
    <row r="22" spans="1:18" x14ac:dyDescent="0.3">
      <c r="A22" t="s">
        <v>47</v>
      </c>
      <c r="B22" s="30">
        <f>AVERAGE(B24:B31)</f>
        <v>0.10465305080656664</v>
      </c>
    </row>
    <row r="23" spans="1:18" x14ac:dyDescent="0.3">
      <c r="A23" t="s">
        <v>2</v>
      </c>
      <c r="B23" s="1"/>
      <c r="K23" s="44" t="s">
        <v>50</v>
      </c>
      <c r="L23" s="44"/>
      <c r="M23" s="44"/>
      <c r="N23" s="44"/>
      <c r="O23" s="44"/>
      <c r="P23" s="44" t="s">
        <v>81</v>
      </c>
      <c r="Q23" s="44"/>
      <c r="R23" s="44" t="s">
        <v>82</v>
      </c>
    </row>
    <row r="24" spans="1:18" x14ac:dyDescent="0.3">
      <c r="A24" s="8">
        <v>2016</v>
      </c>
      <c r="B24" s="3">
        <f>B8/B7-1</f>
        <v>7.5471698113207308E-2</v>
      </c>
      <c r="D24" s="8" t="s">
        <v>80</v>
      </c>
      <c r="K24" s="45" t="s">
        <v>51</v>
      </c>
      <c r="L24" s="12"/>
      <c r="M24" s="12"/>
      <c r="N24" s="12"/>
      <c r="O24" s="12" t="s">
        <v>54</v>
      </c>
      <c r="P24" s="12" t="s">
        <v>55</v>
      </c>
      <c r="R24" s="12" t="s">
        <v>55</v>
      </c>
    </row>
    <row r="25" spans="1:18" x14ac:dyDescent="0.3">
      <c r="A25" s="8">
        <f>A24+1</f>
        <v>2017</v>
      </c>
      <c r="B25" s="3">
        <f>B12/B8-1</f>
        <v>0.10526315789473695</v>
      </c>
      <c r="K25" s="45" t="s">
        <v>52</v>
      </c>
      <c r="L25" s="45"/>
      <c r="M25" s="45"/>
      <c r="N25" s="45"/>
      <c r="O25" s="46">
        <f>1.5%</f>
        <v>1.4999999999999999E-2</v>
      </c>
      <c r="P25" s="46">
        <f>B62</f>
        <v>4.6300000000000001E-2</v>
      </c>
      <c r="R25" s="46">
        <f>2%</f>
        <v>0.02</v>
      </c>
    </row>
    <row r="26" spans="1:18" x14ac:dyDescent="0.3">
      <c r="A26" s="8">
        <f t="shared" ref="A26:A31" si="2">A25+1</f>
        <v>2018</v>
      </c>
      <c r="B26" s="3">
        <f t="shared" ref="B26:B31" si="3">B13/B12-1</f>
        <v>9.5238095238095122E-2</v>
      </c>
      <c r="K26" s="45" t="s">
        <v>53</v>
      </c>
      <c r="L26" s="45"/>
      <c r="M26" s="45"/>
      <c r="N26" s="45"/>
      <c r="O26" s="46">
        <v>4.5999999999999999E-2</v>
      </c>
      <c r="P26" s="46">
        <v>4.5999999999999999E-2</v>
      </c>
      <c r="R26" s="46">
        <v>4.5999999999999999E-2</v>
      </c>
    </row>
    <row r="27" spans="1:18" x14ac:dyDescent="0.3">
      <c r="A27" s="8">
        <f t="shared" si="2"/>
        <v>2019</v>
      </c>
      <c r="B27" s="3">
        <f t="shared" si="3"/>
        <v>5.7971014492753659E-2</v>
      </c>
      <c r="K27" s="45"/>
      <c r="L27" s="45"/>
      <c r="M27" s="45"/>
      <c r="N27" s="45"/>
      <c r="O27" s="46">
        <v>0</v>
      </c>
      <c r="P27" s="46">
        <v>0</v>
      </c>
      <c r="R27" s="46">
        <v>0.02</v>
      </c>
    </row>
    <row r="28" spans="1:18" x14ac:dyDescent="0.3">
      <c r="A28" s="8">
        <f t="shared" si="2"/>
        <v>2020</v>
      </c>
      <c r="B28" s="3">
        <f t="shared" si="3"/>
        <v>0.19178082191780832</v>
      </c>
      <c r="K28" s="45"/>
      <c r="L28" s="45"/>
      <c r="M28" s="45"/>
      <c r="N28" s="45"/>
      <c r="O28" s="46"/>
      <c r="P28" s="46"/>
      <c r="R28" s="46"/>
    </row>
    <row r="29" spans="1:18" x14ac:dyDescent="0.3">
      <c r="A29" s="8">
        <f t="shared" si="2"/>
        <v>2021</v>
      </c>
      <c r="B29" s="3">
        <f t="shared" si="3"/>
        <v>0.11494252873563227</v>
      </c>
      <c r="K29" s="47" t="s">
        <v>59</v>
      </c>
      <c r="L29" s="45"/>
      <c r="M29" s="45"/>
      <c r="N29" s="45"/>
      <c r="O29" s="46"/>
      <c r="P29" s="46"/>
      <c r="R29" s="46"/>
    </row>
    <row r="30" spans="1:18" x14ac:dyDescent="0.3">
      <c r="A30" s="8">
        <f t="shared" si="2"/>
        <v>2022</v>
      </c>
      <c r="B30" s="3">
        <f t="shared" si="3"/>
        <v>9.278350515463929E-2</v>
      </c>
      <c r="K30" s="43">
        <f>O25+O30*(O26)</f>
        <v>3.9379999999999998E-2</v>
      </c>
      <c r="L30" s="47"/>
      <c r="M30" s="47"/>
      <c r="N30" s="47"/>
      <c r="O30" s="48">
        <f>0.53</f>
        <v>0.53</v>
      </c>
      <c r="P30" s="48">
        <f>0.53</f>
        <v>0.53</v>
      </c>
      <c r="R30" s="48">
        <f>0.53</f>
        <v>0.53</v>
      </c>
    </row>
    <row r="31" spans="1:18" x14ac:dyDescent="0.3">
      <c r="A31" s="8">
        <f t="shared" si="2"/>
        <v>2023</v>
      </c>
      <c r="B31" s="3">
        <f t="shared" si="3"/>
        <v>0.10377358490566024</v>
      </c>
      <c r="K31" s="12"/>
      <c r="L31" s="43"/>
      <c r="M31" s="12"/>
      <c r="N31" s="12"/>
      <c r="O31" s="12"/>
      <c r="P31" s="12"/>
    </row>
    <row r="32" spans="1:18" x14ac:dyDescent="0.3">
      <c r="B32" s="1"/>
      <c r="K32" s="43">
        <f>AVERAGE(K30,M33)</f>
        <v>5.5030000000000003E-2</v>
      </c>
      <c r="L32" s="12"/>
      <c r="M32" s="12"/>
      <c r="N32" s="12"/>
      <c r="O32" s="12"/>
      <c r="P32" s="12"/>
    </row>
    <row r="33" spans="1:16" x14ac:dyDescent="0.3">
      <c r="A33" t="s">
        <v>73</v>
      </c>
      <c r="B33" s="3">
        <f>M33</f>
        <v>7.0680000000000007E-2</v>
      </c>
      <c r="D33" s="12"/>
      <c r="L33" s="12"/>
      <c r="M33" s="37">
        <f>P25+P30*(P26)</f>
        <v>7.0680000000000007E-2</v>
      </c>
      <c r="N33" s="12"/>
      <c r="O33" s="37">
        <f>R25+R30*(R26+R27)</f>
        <v>5.4980000000000001E-2</v>
      </c>
      <c r="P33" s="12"/>
    </row>
    <row r="34" spans="1:16" x14ac:dyDescent="0.3">
      <c r="A34" t="s">
        <v>74</v>
      </c>
      <c r="B34" s="3">
        <f>O33</f>
        <v>5.4980000000000001E-2</v>
      </c>
    </row>
    <row r="35" spans="1:16" x14ac:dyDescent="0.3">
      <c r="B35" s="3"/>
    </row>
    <row r="36" spans="1:16" x14ac:dyDescent="0.3">
      <c r="A36" t="s">
        <v>13</v>
      </c>
      <c r="B36" s="31">
        <f>B18*(1+B21)</f>
        <v>1.27413</v>
      </c>
    </row>
    <row r="37" spans="1:16" x14ac:dyDescent="0.3">
      <c r="A37" s="12" t="s">
        <v>29</v>
      </c>
      <c r="B37" s="36">
        <f>B36/(B33-B21)</f>
        <v>-69.548580786026236</v>
      </c>
      <c r="C37" s="67" t="s">
        <v>48</v>
      </c>
    </row>
    <row r="38" spans="1:16" ht="15" thickBot="1" x14ac:dyDescent="0.35">
      <c r="B38" s="3"/>
      <c r="J38" s="9"/>
      <c r="K38" s="11" t="s">
        <v>58</v>
      </c>
    </row>
    <row r="39" spans="1:16" ht="15.6" thickTop="1" thickBot="1" x14ac:dyDescent="0.35">
      <c r="A39" s="11" t="s">
        <v>57</v>
      </c>
      <c r="B39" s="10"/>
      <c r="C39" s="9"/>
      <c r="D39" s="9"/>
      <c r="E39" s="9"/>
      <c r="F39" s="9"/>
      <c r="G39" s="9"/>
      <c r="H39" s="9"/>
      <c r="I39" s="9"/>
      <c r="K39" t="s">
        <v>6</v>
      </c>
      <c r="L39" s="9"/>
    </row>
    <row r="40" spans="1:16" ht="15" thickTop="1" x14ac:dyDescent="0.3">
      <c r="A40" t="s">
        <v>6</v>
      </c>
      <c r="B40" s="4" t="s">
        <v>32</v>
      </c>
      <c r="K40" t="s">
        <v>5</v>
      </c>
      <c r="L40" s="4" t="s">
        <v>32</v>
      </c>
    </row>
    <row r="41" spans="1:16" x14ac:dyDescent="0.3">
      <c r="A41" t="s">
        <v>5</v>
      </c>
      <c r="B41" s="4" t="s">
        <v>32</v>
      </c>
      <c r="K41" t="s">
        <v>7</v>
      </c>
      <c r="L41" s="4" t="s">
        <v>32</v>
      </c>
    </row>
    <row r="42" spans="1:16" x14ac:dyDescent="0.3">
      <c r="A42" t="s">
        <v>7</v>
      </c>
      <c r="B42" s="4" t="s">
        <v>32</v>
      </c>
      <c r="I42" t="s">
        <v>45</v>
      </c>
      <c r="K42" t="s">
        <v>4</v>
      </c>
      <c r="L42" s="4" t="s">
        <v>32</v>
      </c>
    </row>
    <row r="43" spans="1:16" x14ac:dyDescent="0.3">
      <c r="A43" t="s">
        <v>4</v>
      </c>
      <c r="B43" s="4" t="s">
        <v>32</v>
      </c>
      <c r="L43" s="4" t="s">
        <v>32</v>
      </c>
    </row>
    <row r="44" spans="1:16" x14ac:dyDescent="0.3">
      <c r="B44" s="1"/>
      <c r="I44">
        <v>34</v>
      </c>
      <c r="K44" t="s">
        <v>8</v>
      </c>
      <c r="L44" s="1"/>
    </row>
    <row r="45" spans="1:16" x14ac:dyDescent="0.3">
      <c r="A45" t="s">
        <v>8</v>
      </c>
      <c r="B45" s="3" t="e">
        <f>B43/B42</f>
        <v>#VALUE!</v>
      </c>
      <c r="I45">
        <v>44</v>
      </c>
      <c r="K45" t="s">
        <v>33</v>
      </c>
      <c r="L45" s="3" t="e">
        <f>L43/L42</f>
        <v>#VALUE!</v>
      </c>
    </row>
    <row r="46" spans="1:16" x14ac:dyDescent="0.3">
      <c r="A46" t="s">
        <v>33</v>
      </c>
      <c r="B46" s="18">
        <v>0.221</v>
      </c>
      <c r="I46">
        <v>54</v>
      </c>
      <c r="K46" t="s">
        <v>9</v>
      </c>
      <c r="L46" s="18">
        <v>0.17460317460317459</v>
      </c>
    </row>
    <row r="47" spans="1:16" x14ac:dyDescent="0.3">
      <c r="A47" t="s">
        <v>9</v>
      </c>
      <c r="B47" s="19" t="s">
        <v>32</v>
      </c>
      <c r="I47">
        <v>49</v>
      </c>
      <c r="K47" t="s">
        <v>10</v>
      </c>
      <c r="L47" s="19" t="s">
        <v>32</v>
      </c>
    </row>
    <row r="48" spans="1:16" x14ac:dyDescent="0.3">
      <c r="A48" t="s">
        <v>10</v>
      </c>
      <c r="B48" s="17" t="s">
        <v>32</v>
      </c>
      <c r="I48">
        <v>50</v>
      </c>
      <c r="L48" s="17" t="s">
        <v>32</v>
      </c>
    </row>
    <row r="49" spans="1:12" x14ac:dyDescent="0.3">
      <c r="B49" s="1"/>
      <c r="I49">
        <v>41</v>
      </c>
      <c r="K49" t="s">
        <v>3</v>
      </c>
      <c r="L49" s="1"/>
    </row>
    <row r="50" spans="1:12" x14ac:dyDescent="0.3">
      <c r="A50" t="s">
        <v>3</v>
      </c>
      <c r="B50" s="3">
        <f>37%</f>
        <v>0.37</v>
      </c>
      <c r="I50">
        <v>32</v>
      </c>
      <c r="K50" t="s">
        <v>30</v>
      </c>
      <c r="L50" s="3">
        <f>37%</f>
        <v>0.37</v>
      </c>
    </row>
    <row r="51" spans="1:12" x14ac:dyDescent="0.3">
      <c r="A51" t="s">
        <v>30</v>
      </c>
      <c r="B51" s="5">
        <f>1-B50</f>
        <v>0.63</v>
      </c>
      <c r="I51">
        <v>21</v>
      </c>
      <c r="L51" s="5">
        <f>1-L50</f>
        <v>0.63</v>
      </c>
    </row>
    <row r="52" spans="1:12" x14ac:dyDescent="0.3">
      <c r="B52" s="1"/>
      <c r="I52">
        <v>18</v>
      </c>
      <c r="K52" t="s">
        <v>11</v>
      </c>
      <c r="L52" s="1"/>
    </row>
    <row r="53" spans="1:12" x14ac:dyDescent="0.3">
      <c r="A53" t="s">
        <v>11</v>
      </c>
      <c r="B53" s="18">
        <f>B51*B46</f>
        <v>0.13922999999999999</v>
      </c>
      <c r="C53" s="3"/>
      <c r="I53">
        <v>22</v>
      </c>
      <c r="L53" s="18">
        <f>L51*L46</f>
        <v>0.11</v>
      </c>
    </row>
    <row r="54" spans="1:12" x14ac:dyDescent="0.3">
      <c r="B54" s="1"/>
      <c r="I54">
        <f>AVERAGE(I44:I53)</f>
        <v>36.5</v>
      </c>
      <c r="K54" t="s">
        <v>14</v>
      </c>
      <c r="L54" s="1"/>
    </row>
    <row r="55" spans="1:12" x14ac:dyDescent="0.3">
      <c r="A55" t="s">
        <v>14</v>
      </c>
      <c r="B55" s="17">
        <f>B18*(1+B53)</f>
        <v>1.3328990999999999</v>
      </c>
      <c r="K55" t="s">
        <v>15</v>
      </c>
      <c r="L55" s="17">
        <f>B18*(1+L53)</f>
        <v>1.2987</v>
      </c>
    </row>
    <row r="56" spans="1:12" x14ac:dyDescent="0.3">
      <c r="A56" t="s">
        <v>15</v>
      </c>
      <c r="B56" s="66">
        <f>B55/(B33-B53)</f>
        <v>-19.444188183807441</v>
      </c>
      <c r="C56" s="67" t="s">
        <v>68</v>
      </c>
      <c r="K56" t="s">
        <v>0</v>
      </c>
      <c r="L56" s="17">
        <f>L55/(B33-L53)</f>
        <v>-33.02899287894202</v>
      </c>
    </row>
    <row r="57" spans="1:12" x14ac:dyDescent="0.3">
      <c r="A57" t="s">
        <v>0</v>
      </c>
      <c r="B57" s="17">
        <f>B4</f>
        <v>79.010000000000005</v>
      </c>
      <c r="L57" s="17">
        <f>K5</f>
        <v>79.010000000000005</v>
      </c>
    </row>
    <row r="58" spans="1:12" x14ac:dyDescent="0.3">
      <c r="B58" s="1"/>
    </row>
    <row r="59" spans="1:12" ht="15" thickBot="1" x14ac:dyDescent="0.35">
      <c r="A59" s="11" t="s">
        <v>40</v>
      </c>
      <c r="B59" s="13"/>
      <c r="C59" s="9"/>
      <c r="D59" s="9"/>
      <c r="E59" s="9"/>
      <c r="F59" s="9"/>
      <c r="G59" s="9"/>
      <c r="H59" s="9"/>
    </row>
    <row r="60" spans="1:12" ht="15" thickTop="1" x14ac:dyDescent="0.3">
      <c r="B60" s="1"/>
    </row>
    <row r="61" spans="1:12" x14ac:dyDescent="0.3">
      <c r="A61" s="8" t="s">
        <v>76</v>
      </c>
      <c r="B61" s="5">
        <f>B53</f>
        <v>0.13922999999999999</v>
      </c>
      <c r="E61" t="s">
        <v>26</v>
      </c>
    </row>
    <row r="62" spans="1:12" ht="15" thickBot="1" x14ac:dyDescent="0.35">
      <c r="A62" t="s">
        <v>41</v>
      </c>
      <c r="B62" s="5">
        <v>4.6300000000000001E-2</v>
      </c>
      <c r="E62" t="s">
        <v>25</v>
      </c>
    </row>
    <row r="63" spans="1:12" ht="15" thickBot="1" x14ac:dyDescent="0.35">
      <c r="A63" s="8" t="s">
        <v>77</v>
      </c>
      <c r="B63" s="71">
        <f>B61-D63</f>
        <v>0.11922999999999999</v>
      </c>
      <c r="C63" s="8" t="s">
        <v>78</v>
      </c>
      <c r="D63" s="21">
        <v>0.02</v>
      </c>
      <c r="K63" s="72" t="s">
        <v>79</v>
      </c>
      <c r="L63" s="73">
        <f>K12</f>
        <v>86.277694621325395</v>
      </c>
    </row>
    <row r="64" spans="1:12" x14ac:dyDescent="0.3">
      <c r="B64" s="5"/>
    </row>
    <row r="65" spans="1:11" x14ac:dyDescent="0.3">
      <c r="A65" t="s">
        <v>24</v>
      </c>
      <c r="B65" s="17">
        <f>SUM(B90:B96)</f>
        <v>74.622664724036269</v>
      </c>
    </row>
    <row r="66" spans="1:11" x14ac:dyDescent="0.3">
      <c r="A66" t="s">
        <v>0</v>
      </c>
      <c r="B66" s="17">
        <f>B4</f>
        <v>79.010000000000005</v>
      </c>
    </row>
    <row r="67" spans="1:11" x14ac:dyDescent="0.3">
      <c r="B67" s="17"/>
      <c r="E67" s="7" t="s">
        <v>27</v>
      </c>
    </row>
    <row r="68" spans="1:11" x14ac:dyDescent="0.3">
      <c r="A68" s="1" t="s">
        <v>16</v>
      </c>
      <c r="B68" s="17" t="s">
        <v>17</v>
      </c>
      <c r="E68" t="s">
        <v>28</v>
      </c>
    </row>
    <row r="69" spans="1:11" x14ac:dyDescent="0.3">
      <c r="A69" s="1">
        <v>0</v>
      </c>
      <c r="B69" s="17">
        <f>B18</f>
        <v>1.17</v>
      </c>
      <c r="C69" s="1" t="s">
        <v>18</v>
      </c>
      <c r="D69" s="8" t="s">
        <v>49</v>
      </c>
    </row>
    <row r="70" spans="1:11" x14ac:dyDescent="0.3">
      <c r="A70" s="1">
        <v>1</v>
      </c>
      <c r="B70" s="17">
        <f>B69*(1+B$61)</f>
        <v>1.3328990999999999</v>
      </c>
      <c r="C70" s="1" t="s">
        <v>18</v>
      </c>
    </row>
    <row r="71" spans="1:11" x14ac:dyDescent="0.3">
      <c r="A71" s="1">
        <v>2</v>
      </c>
      <c r="B71" s="17">
        <f t="shared" ref="B71:B74" si="4">B70*(1+B$61)</f>
        <v>1.5184786416929998</v>
      </c>
      <c r="C71" s="1" t="s">
        <v>18</v>
      </c>
    </row>
    <row r="72" spans="1:11" x14ac:dyDescent="0.3">
      <c r="A72" s="1">
        <v>3</v>
      </c>
      <c r="B72" s="17">
        <f>B71*(1+B$63)</f>
        <v>1.6995268501420562</v>
      </c>
      <c r="C72" s="1" t="s">
        <v>18</v>
      </c>
    </row>
    <row r="73" spans="1:11" x14ac:dyDescent="0.3">
      <c r="A73" s="1">
        <v>4</v>
      </c>
      <c r="B73" s="17">
        <f t="shared" ref="B73:B74" si="5">B72*(1+B$63)</f>
        <v>1.9021614364844934</v>
      </c>
      <c r="C73" s="1" t="s">
        <v>18</v>
      </c>
    </row>
    <row r="74" spans="1:11" x14ac:dyDescent="0.3">
      <c r="A74" s="1">
        <v>5</v>
      </c>
      <c r="B74" s="17">
        <f t="shared" si="5"/>
        <v>2.1289561445565397</v>
      </c>
      <c r="C74" s="1" t="s">
        <v>18</v>
      </c>
    </row>
    <row r="75" spans="1:11" x14ac:dyDescent="0.3">
      <c r="A75" s="1">
        <v>6</v>
      </c>
      <c r="B75" s="33">
        <f>B78</f>
        <v>91.36697350490185</v>
      </c>
      <c r="C75" s="14" t="s">
        <v>19</v>
      </c>
      <c r="E75" s="8" t="s">
        <v>31</v>
      </c>
    </row>
    <row r="76" spans="1:11" x14ac:dyDescent="0.3">
      <c r="H76" s="8" t="s">
        <v>65</v>
      </c>
    </row>
    <row r="77" spans="1:11" x14ac:dyDescent="0.3">
      <c r="A77" t="s">
        <v>20</v>
      </c>
      <c r="B77" s="17">
        <f>B74*(1+B62)</f>
        <v>2.2275268140495075</v>
      </c>
    </row>
    <row r="78" spans="1:11" x14ac:dyDescent="0.3">
      <c r="A78" s="8" t="s">
        <v>21</v>
      </c>
      <c r="B78" s="33">
        <f>B77/(B33-B62)</f>
        <v>91.36697350490185</v>
      </c>
      <c r="E78" s="8"/>
      <c r="I78" s="8" t="s">
        <v>63</v>
      </c>
    </row>
    <row r="79" spans="1:11" x14ac:dyDescent="0.3">
      <c r="F79" s="50">
        <f>B65</f>
        <v>74.622664724036269</v>
      </c>
      <c r="G79" s="51">
        <f>H79-5%</f>
        <v>0.12099999999999998</v>
      </c>
      <c r="H79" s="54">
        <f>I79-5%</f>
        <v>0.17099999999999999</v>
      </c>
      <c r="I79" s="51">
        <f>B46</f>
        <v>0.221</v>
      </c>
      <c r="J79" s="54">
        <f>I79+5%</f>
        <v>0.27100000000000002</v>
      </c>
      <c r="K79" s="54">
        <f>J79+5%</f>
        <v>0.32100000000000001</v>
      </c>
    </row>
    <row r="80" spans="1:11" x14ac:dyDescent="0.3">
      <c r="A80" s="1" t="s">
        <v>16</v>
      </c>
      <c r="B80" t="s">
        <v>22</v>
      </c>
      <c r="F80" s="52">
        <f>F81-0.005</f>
        <v>6.0680000000000005E-2</v>
      </c>
      <c r="G80" s="49">
        <f t="dataTable" ref="G80:K84" dt2D="1" dtr="1" r1="B46" r2="B33" ca="1"/>
        <v>91.499121873992976</v>
      </c>
      <c r="H80" s="49">
        <v>79.225380318412704</v>
      </c>
      <c r="I80" s="49">
        <v>79.225380318412704</v>
      </c>
      <c r="J80" s="49">
        <v>91.499121873992976</v>
      </c>
      <c r="K80" s="49">
        <v>120.74506934139475</v>
      </c>
    </row>
    <row r="81" spans="1:11" x14ac:dyDescent="0.3">
      <c r="A81" s="1">
        <v>0</v>
      </c>
      <c r="B81" s="6">
        <f>1/(1+B$33)^$A81</f>
        <v>1</v>
      </c>
      <c r="F81" s="53">
        <f>F82-0.005</f>
        <v>6.5680000000000002E-2</v>
      </c>
      <c r="G81" s="49">
        <v>136.43938253799615</v>
      </c>
      <c r="H81" s="57">
        <v>117.89802362464965</v>
      </c>
      <c r="I81" s="57">
        <v>117.89802362464965</v>
      </c>
      <c r="J81" s="57">
        <v>136.43938253799615</v>
      </c>
      <c r="K81" s="49">
        <v>180.65542923531413</v>
      </c>
    </row>
    <row r="82" spans="1:11" x14ac:dyDescent="0.3">
      <c r="A82" s="1">
        <v>1</v>
      </c>
      <c r="B82" s="6">
        <f t="shared" ref="B82:B83" si="6">1/(1+B$33)^$A82</f>
        <v>0.93398587813352252</v>
      </c>
      <c r="E82" s="55" t="s">
        <v>64</v>
      </c>
      <c r="F82" s="53">
        <f>B33</f>
        <v>7.0680000000000007E-2</v>
      </c>
      <c r="G82" s="49">
        <v>136.43938253799615</v>
      </c>
      <c r="H82" s="57">
        <v>117.89802362464965</v>
      </c>
      <c r="I82" s="58">
        <v>117.89802362464965</v>
      </c>
      <c r="J82" s="57">
        <v>136.43938253799615</v>
      </c>
      <c r="K82" s="49">
        <v>180.65542923531413</v>
      </c>
    </row>
    <row r="83" spans="1:11" x14ac:dyDescent="0.3">
      <c r="A83" s="1">
        <v>2</v>
      </c>
      <c r="B83" s="6">
        <f t="shared" si="6"/>
        <v>0.87232962055284724</v>
      </c>
      <c r="F83" s="53">
        <f>F82+0.005</f>
        <v>7.5680000000000011E-2</v>
      </c>
      <c r="G83" s="49">
        <v>91.499121873992976</v>
      </c>
      <c r="H83" s="57">
        <v>79.225380318412704</v>
      </c>
      <c r="I83" s="57">
        <v>79.225380318412704</v>
      </c>
      <c r="J83" s="57">
        <v>91.499121873992976</v>
      </c>
      <c r="K83" s="49">
        <v>120.74506934139475</v>
      </c>
    </row>
    <row r="84" spans="1:11" x14ac:dyDescent="0.3">
      <c r="A84" s="1">
        <v>3</v>
      </c>
      <c r="B84" s="6">
        <f>1/(1+B$34)^$A84</f>
        <v>0.85166209902480106</v>
      </c>
      <c r="C84" s="8" t="s">
        <v>75</v>
      </c>
      <c r="F84" s="53">
        <f>F83+0.005</f>
        <v>8.0680000000000016E-2</v>
      </c>
      <c r="G84" s="49">
        <v>56.897990865131185</v>
      </c>
      <c r="H84" s="49">
        <v>49.448057526658168</v>
      </c>
      <c r="I84" s="49">
        <v>49.448057526658168</v>
      </c>
      <c r="J84" s="49">
        <v>56.897990865131185</v>
      </c>
      <c r="K84" s="49">
        <v>74.622664724036269</v>
      </c>
    </row>
    <row r="85" spans="1:11" x14ac:dyDescent="0.3">
      <c r="A85" s="1">
        <v>4</v>
      </c>
      <c r="B85" s="6">
        <f t="shared" ref="B85:B87" si="7">1/(1+B$34)^$A85</f>
        <v>0.80727795695160198</v>
      </c>
    </row>
    <row r="86" spans="1:11" x14ac:dyDescent="0.3">
      <c r="A86" s="1">
        <v>5</v>
      </c>
      <c r="B86" s="6">
        <f t="shared" si="7"/>
        <v>0.765206882549055</v>
      </c>
    </row>
    <row r="87" spans="1:11" x14ac:dyDescent="0.3">
      <c r="A87" s="1">
        <v>6</v>
      </c>
      <c r="B87" s="6">
        <f t="shared" si="7"/>
        <v>0.72532833091533022</v>
      </c>
      <c r="E87" s="8"/>
      <c r="I87" s="8" t="s">
        <v>62</v>
      </c>
    </row>
    <row r="88" spans="1:11" x14ac:dyDescent="0.3">
      <c r="F88" s="50">
        <f>F79</f>
        <v>74.622664724036269</v>
      </c>
      <c r="G88" s="54">
        <f>H88-1%</f>
        <v>2.6299999999999997E-2</v>
      </c>
      <c r="H88" s="54">
        <f>I88-1%</f>
        <v>3.6299999999999999E-2</v>
      </c>
      <c r="I88" s="51">
        <f>B62</f>
        <v>4.6300000000000001E-2</v>
      </c>
      <c r="J88" s="54">
        <f>I88+1%</f>
        <v>5.6300000000000003E-2</v>
      </c>
      <c r="K88" s="54">
        <f>J88+1%</f>
        <v>6.6299999999999998E-2</v>
      </c>
    </row>
    <row r="89" spans="1:11" x14ac:dyDescent="0.3">
      <c r="A89" s="1" t="s">
        <v>16</v>
      </c>
      <c r="B89" s="14" t="s">
        <v>23</v>
      </c>
      <c r="F89" s="52">
        <f>F90-0.05</f>
        <v>0.27</v>
      </c>
      <c r="G89" s="49">
        <f t="dataTable" ref="G89:K93" dt2D="1" dtr="1" r1="B62" r2="B50" ca="1"/>
        <v>80.512845716502852</v>
      </c>
      <c r="H89" s="49">
        <v>79.854912979361714</v>
      </c>
      <c r="I89" s="49">
        <v>79.854912979361714</v>
      </c>
      <c r="J89" s="49">
        <v>80.512845716502852</v>
      </c>
      <c r="K89" s="49">
        <v>81.831709735860386</v>
      </c>
    </row>
    <row r="90" spans="1:11" x14ac:dyDescent="0.3">
      <c r="A90" s="1">
        <v>0</v>
      </c>
      <c r="B90" s="17">
        <f>B69*B81</f>
        <v>1.17</v>
      </c>
      <c r="C90" s="1" t="s">
        <v>18</v>
      </c>
      <c r="F90" s="53">
        <f>F91-0.05</f>
        <v>0.32</v>
      </c>
      <c r="G90" s="49">
        <v>84.260112996469317</v>
      </c>
      <c r="H90" s="57">
        <v>83.568620297308811</v>
      </c>
      <c r="I90" s="57">
        <v>83.568620297308811</v>
      </c>
      <c r="J90" s="57">
        <v>84.260112996469317</v>
      </c>
      <c r="K90" s="49">
        <v>85.646147584310668</v>
      </c>
    </row>
    <row r="91" spans="1:11" x14ac:dyDescent="0.3">
      <c r="A91" s="1">
        <v>1</v>
      </c>
      <c r="B91" s="17">
        <f t="shared" ref="B91" si="8">B70*B82</f>
        <v>1.2449089363768817</v>
      </c>
      <c r="C91" s="1" t="s">
        <v>18</v>
      </c>
      <c r="E91" s="55" t="s">
        <v>72</v>
      </c>
      <c r="F91" s="53">
        <f>B50</f>
        <v>0.37</v>
      </c>
      <c r="G91" s="49">
        <v>84.260112996469317</v>
      </c>
      <c r="H91" s="57">
        <v>83.568620297308811</v>
      </c>
      <c r="I91" s="58">
        <v>83.568620297308811</v>
      </c>
      <c r="J91" s="57">
        <v>84.260112996469317</v>
      </c>
      <c r="K91" s="49">
        <v>85.646147584310668</v>
      </c>
    </row>
    <row r="92" spans="1:11" x14ac:dyDescent="0.3">
      <c r="A92" s="1">
        <v>2</v>
      </c>
      <c r="B92" s="17">
        <f t="shared" ref="B92" si="9">B71*B83</f>
        <v>1.3246138973256574</v>
      </c>
      <c r="C92" s="1" t="s">
        <v>18</v>
      </c>
      <c r="F92" s="53">
        <f>F91+0.05</f>
        <v>0.42</v>
      </c>
      <c r="G92" s="49">
        <v>80.512845716502852</v>
      </c>
      <c r="H92" s="57">
        <v>79.854912979361714</v>
      </c>
      <c r="I92" s="57">
        <v>79.854912979361714</v>
      </c>
      <c r="J92" s="57">
        <v>80.512845716502852</v>
      </c>
      <c r="K92" s="49">
        <v>81.831709735860386</v>
      </c>
    </row>
    <row r="93" spans="1:11" x14ac:dyDescent="0.3">
      <c r="A93" s="1">
        <v>3</v>
      </c>
      <c r="B93" s="17">
        <f t="shared" ref="B93" si="10">B72*B84</f>
        <v>1.4474226045409921</v>
      </c>
      <c r="C93" s="1" t="s">
        <v>18</v>
      </c>
      <c r="F93" s="53">
        <f>F92+0.05</f>
        <v>0.47</v>
      </c>
      <c r="G93" s="49">
        <v>73.430501062322122</v>
      </c>
      <c r="H93" s="49">
        <v>72.835868484832929</v>
      </c>
      <c r="I93" s="49">
        <v>72.835868484832929</v>
      </c>
      <c r="J93" s="49">
        <v>73.430501062322122</v>
      </c>
      <c r="K93" s="49">
        <v>74.622664724036269</v>
      </c>
    </row>
    <row r="94" spans="1:11" x14ac:dyDescent="0.3">
      <c r="A94" s="1">
        <v>4</v>
      </c>
      <c r="B94" s="17">
        <f t="shared" ref="B94" si="11">B73*B85</f>
        <v>1.5355729982373263</v>
      </c>
      <c r="C94" s="1" t="s">
        <v>18</v>
      </c>
    </row>
    <row r="95" spans="1:11" x14ac:dyDescent="0.3">
      <c r="A95" s="1">
        <v>5</v>
      </c>
      <c r="B95" s="17">
        <f t="shared" ref="B95" si="12">B74*B86</f>
        <v>1.629091894459765</v>
      </c>
      <c r="C95" s="1" t="s">
        <v>18</v>
      </c>
    </row>
    <row r="96" spans="1:11" x14ac:dyDescent="0.3">
      <c r="A96" s="1">
        <v>6</v>
      </c>
      <c r="B96" s="17">
        <f t="shared" ref="B96" si="13">B75*B87</f>
        <v>66.271054393095653</v>
      </c>
      <c r="C96" s="1" t="s">
        <v>19</v>
      </c>
      <c r="G96" s="59">
        <f>AVERAGE(G89:K93)</f>
        <v>80.595883456690359</v>
      </c>
    </row>
    <row r="97" spans="7:7" x14ac:dyDescent="0.3">
      <c r="G97" s="59">
        <f>AVERAGE(G80:K84)</f>
        <v>103.61453568324954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E8613C-3E2C-466C-93D7-192E8757F9E3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DDM</vt:lpstr>
    </vt:vector>
  </TitlesOfParts>
  <Company>Northumbria University at Newcastle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Savva Shanaev</dc:creator>
  <cp:lastModifiedBy>K.T</cp:lastModifiedBy>
  <dcterms:created xsi:type="dcterms:W3CDTF">2019-12-19T14:53:11Z</dcterms:created>
  <dcterms:modified xsi:type="dcterms:W3CDTF">2024-04-24T18:46:54Z</dcterms:modified>
</cp:coreProperties>
</file>